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av.patel\Downloads\"/>
    </mc:Choice>
  </mc:AlternateContent>
  <xr:revisionPtr revIDLastSave="0" documentId="13_ncr:1_{40AF119D-A3A6-405E-807B-4983D1E3B4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M2" i="1"/>
  <c r="AD2" i="1" s="1"/>
  <c r="E2" i="1"/>
</calcChain>
</file>

<file path=xl/sharedStrings.xml><?xml version="1.0" encoding="utf-8"?>
<sst xmlns="http://schemas.openxmlformats.org/spreadsheetml/2006/main" count="55" uniqueCount="52">
  <si>
    <t>Kirke Created Checkbox</t>
  </si>
  <si>
    <t>Request Date</t>
  </si>
  <si>
    <t>Create Date</t>
  </si>
  <si>
    <t>Kirke ID</t>
  </si>
  <si>
    <t>Start Date</t>
  </si>
  <si>
    <t>Fuze Project ID</t>
  </si>
  <si>
    <t>MDG Location</t>
  </si>
  <si>
    <t>PS Location</t>
  </si>
  <si>
    <t>Site ID</t>
  </si>
  <si>
    <t xml:space="preserve">E-NODEB
ID </t>
  </si>
  <si>
    <t>Modification Type</t>
  </si>
  <si>
    <t>Site Name</t>
  </si>
  <si>
    <t>SWITCH</t>
  </si>
  <si>
    <t>Network
Assurance 
Engineer</t>
  </si>
  <si>
    <t>Network 
Assurance 
Manager</t>
  </si>
  <si>
    <t>GC Vendor</t>
  </si>
  <si>
    <t>Requester</t>
  </si>
  <si>
    <t>Construction Engineer</t>
  </si>
  <si>
    <t>Request Type</t>
  </si>
  <si>
    <t>Device ID</t>
  </si>
  <si>
    <t>Start 
Date</t>
  </si>
  <si>
    <t>Start 
Time</t>
  </si>
  <si>
    <t>End 
Date</t>
  </si>
  <si>
    <t>End Time</t>
  </si>
  <si>
    <t xml:space="preserve">Change Plan Name/Description </t>
  </si>
  <si>
    <t>BRIEF SOW</t>
  </si>
  <si>
    <t>Attachment Links</t>
  </si>
  <si>
    <t>Requestor from form Email</t>
  </si>
  <si>
    <t>Requested by GC Email</t>
  </si>
  <si>
    <t>System Performance Team Email</t>
  </si>
  <si>
    <t>SNAP 5011287</t>
  </si>
  <si>
    <t>INB-Modification</t>
  </si>
  <si>
    <t xml:space="preserve">DA TMS_DAS_HEADEND - A </t>
  </si>
  <si>
    <t>Jones, Gabriel</t>
  </si>
  <si>
    <t>Taylor, Nathanial</t>
  </si>
  <si>
    <t>AFL-OPTICAL Telecom Division</t>
  </si>
  <si>
    <t>Becerra, Susie</t>
  </si>
  <si>
    <t>Gadola, Chet</t>
  </si>
  <si>
    <t>IB SNAP</t>
  </si>
  <si>
    <t>MRBTS-131709,MRBTS-131703,MRBTS-131705,MRBTS-131707,MRBTS-131708,MRBTS-131710,MRBTS-131717,MRBTS-131718,MRBTS-131719,MRBTS-131720,MRBTS-131721,MRBTS-131722,MRBTS-131724,MRBTS-131725,MRBTS-131726,MRBTS-131728</t>
  </si>
  <si>
    <t xml:space="preserve">Project Number: VZ-00363093                                                                                                    MDG Code: 5000948906                                                                                                              Site ID: 5011287                                                                                                                                                                                                                                                         -Installation of (6) Nokia IXR-e Router’s.
-Installation of (11) Samsung CDU-30 Units.
-Installation of (21) VDU HP Blade Units.
-Installation of (56) Samsung 4437 1900/2100 mRRH Radios.
-Installation of (48) Samsung 4424 C-Band Radios.                                                                                                            -Installation of (3) 19” Half Racks for CDUs.                                                                                                                -Installation of (2) 20-Postion Trimm PDUs in existing 19” Racks.
-Relocation of (2) 16-Postion Trimm PDUs inside Verizon Hub.
Decommissioning of (11) Nokia FSM4 BBU’s.
Decommissioning of (104) Nokia RRH 700/ 2100 Radios.        Zones 23 thru 25                                                      Zones 20 thru 22                                                                       </t>
  </si>
  <si>
    <t>Chris.Kocurek@aflglobal.com</t>
  </si>
  <si>
    <t>gabriel.jones@verizonwireless.com</t>
  </si>
  <si>
    <t>nathanial.taylor</t>
  </si>
  <si>
    <t>Summarize from Email body/MOP</t>
  </si>
  <si>
    <t>Word limit 100</t>
  </si>
  <si>
    <t>Who sent the email</t>
  </si>
  <si>
    <t>Tower</t>
  </si>
  <si>
    <t>SNAP</t>
  </si>
  <si>
    <t>Ground</t>
  </si>
  <si>
    <t>Ground Prep</t>
  </si>
  <si>
    <t>In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</si>
</sst>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"/>
    <numFmt numFmtId="165" formatCode="m/d"/>
    <numFmt numFmtId="166" formatCode="[$-409]h:mm\ AM/PM"/>
    <numFmt numFmtId="167" formatCode="m&quot;/&quot;d"/>
    <numFmt numFmtId="168" formatCode="h&quot;:&quot;mm&quot; &quot;AM/PM"/>
  </numFmts>
  <fonts count="8" x14ac:knownFonts="1">
    <font>
      <sz val="10"/>
      <color rgb="FF000000"/>
      <name val="Arial"/>
      <scheme val="minor"/>
    </font>
    <font>
      <sz val="8"/>
      <color theme="1"/>
      <name val="Arial Narrow"/>
    </font>
    <font>
      <b/>
      <sz val="8"/>
      <color theme="1"/>
      <name val="Arial Narrow"/>
    </font>
    <font>
      <b/>
      <sz val="9"/>
      <color theme="1"/>
      <name val="Arial Narrow"/>
    </font>
    <font>
      <sz val="11"/>
      <color theme="1"/>
      <name val="Calibri"/>
    </font>
    <font>
      <sz val="10"/>
      <color theme="1"/>
      <name val="Arial"/>
      <scheme val="minor"/>
    </font>
    <font>
      <sz val="8"/>
      <color rgb="FF000000"/>
      <name val="Arial Narrow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165" fontId="2" fillId="2" borderId="2" xfId="0" applyNumberFormat="1" applyFont="1" applyFill="1" applyBorder="1" applyAlignment="1">
      <alignment wrapText="1"/>
    </xf>
    <xf numFmtId="166" fontId="2" fillId="2" borderId="2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49" fontId="3" fillId="3" borderId="2" xfId="0" applyNumberFormat="1" applyFont="1" applyFill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4" fillId="0" borderId="0" xfId="0" applyNumberFormat="1" applyFont="1"/>
    <xf numFmtId="0" fontId="1" fillId="0" borderId="0" xfId="0" applyFont="1"/>
    <xf numFmtId="14" fontId="1" fillId="0" borderId="2" xfId="0" applyNumberFormat="1" applyFont="1" applyBorder="1"/>
    <xf numFmtId="14" fontId="1" fillId="0" borderId="0" xfId="0" applyNumberFormat="1" applyFo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167" fontId="1" fillId="0" borderId="2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  <xf numFmtId="0" fontId="4" fillId="0" borderId="2" xfId="0" applyFont="1" applyBorder="1"/>
    <xf numFmtId="164" fontId="1" fillId="0" borderId="2" xfId="0" applyNumberFormat="1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0" borderId="2" xfId="0" applyFont="1" applyBorder="1" applyAlignment="1">
      <alignment horizontal="left" wrapText="1"/>
    </xf>
    <xf numFmtId="0" fontId="7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sTrk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sTrk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ris.Kocurek@afl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7"/>
  <sheetViews>
    <sheetView tabSelected="1" topLeftCell="M1" workbookViewId="0">
      <selection activeCell="T4" sqref="T4"/>
    </sheetView>
  </sheetViews>
  <sheetFormatPr defaultColWidth="12.5703125" defaultRowHeight="15.75" customHeight="1" x14ac:dyDescent="0.2"/>
  <sheetData>
    <row r="1" spans="1:39" ht="38.2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4" t="s">
        <v>15</v>
      </c>
      <c r="Q1" s="7" t="s">
        <v>16</v>
      </c>
      <c r="R1" s="7" t="s">
        <v>17</v>
      </c>
      <c r="S1" s="8" t="s">
        <v>18</v>
      </c>
      <c r="T1" s="5" t="s">
        <v>19</v>
      </c>
      <c r="U1" s="9" t="s">
        <v>20</v>
      </c>
      <c r="V1" s="10" t="s">
        <v>21</v>
      </c>
      <c r="W1" s="9" t="s">
        <v>22</v>
      </c>
      <c r="X1" s="4" t="s">
        <v>23</v>
      </c>
      <c r="Y1" s="5" t="s">
        <v>24</v>
      </c>
      <c r="Z1" s="8" t="s">
        <v>25</v>
      </c>
      <c r="AA1" s="3" t="s">
        <v>26</v>
      </c>
      <c r="AB1" s="11" t="s">
        <v>27</v>
      </c>
      <c r="AC1" s="12" t="s">
        <v>28</v>
      </c>
      <c r="AD1" s="5" t="s">
        <v>29</v>
      </c>
      <c r="AE1" s="5" t="s">
        <v>13</v>
      </c>
      <c r="AF1" s="5" t="s">
        <v>14</v>
      </c>
      <c r="AG1" s="13"/>
      <c r="AH1" s="6"/>
      <c r="AI1" s="6"/>
      <c r="AJ1" s="6"/>
      <c r="AK1" s="6"/>
      <c r="AL1" s="14"/>
      <c r="AM1" s="14"/>
    </row>
    <row r="2" spans="1:39" ht="43.5" customHeight="1" x14ac:dyDescent="0.25">
      <c r="A2" s="15" t="b">
        <v>1</v>
      </c>
      <c r="B2" s="16">
        <v>45614</v>
      </c>
      <c r="C2" s="17"/>
      <c r="D2" s="17"/>
      <c r="E2" s="16">
        <f>U2</f>
        <v>45614</v>
      </c>
      <c r="F2" s="18">
        <v>17121025</v>
      </c>
      <c r="G2" s="18">
        <v>5000400794</v>
      </c>
      <c r="H2" s="18">
        <v>283815</v>
      </c>
      <c r="I2" s="18" t="s">
        <v>30</v>
      </c>
      <c r="J2" s="19">
        <v>131709</v>
      </c>
      <c r="K2" s="18" t="s">
        <v>31</v>
      </c>
      <c r="L2" s="18" t="s">
        <v>32</v>
      </c>
      <c r="M2" s="18" t="e">
        <f>VLOOKUP(H2,[1]OpsTrkr!D:AC,7,FALSE)</f>
        <v>#N/A</v>
      </c>
      <c r="N2" s="5" t="s">
        <v>33</v>
      </c>
      <c r="O2" s="18" t="s">
        <v>34</v>
      </c>
      <c r="P2" s="18" t="s">
        <v>35</v>
      </c>
      <c r="Q2" s="18" t="s">
        <v>36</v>
      </c>
      <c r="R2" s="19" t="s">
        <v>37</v>
      </c>
      <c r="S2" s="18" t="s">
        <v>38</v>
      </c>
      <c r="T2" s="18" t="s">
        <v>39</v>
      </c>
      <c r="U2" s="20">
        <v>45614</v>
      </c>
      <c r="V2" s="21">
        <v>0.29166666666666669</v>
      </c>
      <c r="W2" s="20">
        <v>45626</v>
      </c>
      <c r="X2" s="21">
        <v>0.79166666666666663</v>
      </c>
      <c r="Y2" s="18" t="str">
        <f>CONCATENATE(S2," ",L2,"_",P2)</f>
        <v>IB SNAP DA TMS_DAS_HEADEND - A _AFL-OPTICAL Telecom Division</v>
      </c>
      <c r="Z2" s="18" t="s">
        <v>40</v>
      </c>
      <c r="AA2" s="22"/>
      <c r="AB2" s="22"/>
      <c r="AC2" s="28" t="s">
        <v>41</v>
      </c>
      <c r="AD2" s="23" t="e">
        <f>VLOOKUP(M2,K$266:M$278,2,0)</f>
        <v>#N/A</v>
      </c>
      <c r="AE2" s="5" t="s">
        <v>42</v>
      </c>
      <c r="AF2" s="5" t="s">
        <v>43</v>
      </c>
      <c r="AG2" s="24"/>
      <c r="AH2" s="24"/>
      <c r="AI2" s="24"/>
      <c r="AJ2" s="24"/>
      <c r="AK2" s="24"/>
      <c r="AL2" s="24"/>
      <c r="AM2" s="24"/>
    </row>
    <row r="3" spans="1:39" ht="12.75" x14ac:dyDescent="0.2">
      <c r="S3" s="25" t="s">
        <v>44</v>
      </c>
      <c r="Z3" s="25" t="s">
        <v>45</v>
      </c>
      <c r="AC3" s="25" t="s">
        <v>46</v>
      </c>
    </row>
    <row r="4" spans="1:39" ht="13.5" x14ac:dyDescent="0.25">
      <c r="S4" s="26" t="s">
        <v>47</v>
      </c>
      <c r="T4" s="27" t="s">
        <v>48</v>
      </c>
    </row>
    <row r="5" spans="1:39" ht="13.5" x14ac:dyDescent="0.25">
      <c r="S5" s="26" t="s">
        <v>49</v>
      </c>
      <c r="T5" s="27" t="s">
        <v>50</v>
      </c>
    </row>
    <row r="6" spans="1:39" ht="13.5" x14ac:dyDescent="0.25">
      <c r="S6" s="26" t="s">
        <v>51</v>
      </c>
      <c r="T6" s="18" t="s">
        <v>38</v>
      </c>
    </row>
    <row r="7" spans="1:39" ht="13.5" x14ac:dyDescent="0.25">
      <c r="S7" s="27"/>
    </row>
  </sheetData>
  <dataValidations count="2">
    <dataValidation type="list" allowBlank="1" sqref="T4" xr:uid="{00000000-0002-0000-0000-000000000000}">
      <formula1>"SNAP,ONCOR TOWER SNAP Day Cut - Full Outage,SNAP Day Cut - Full Outage,SNAP w/ Mount Mod,SNAP w/Platform Swap,Powershift,OVP,PDU,Antenna Replacement,Cdu to uADPF"</formula1>
    </dataValidation>
    <dataValidation type="list" allowBlank="1" sqref="T5" xr:uid="{00000000-0002-0000-0000-000001000000}">
      <formula1>"Ground Prep,Power Plant/Battery,Powershift,PDU,OVP,FOA,Battery Replacement,FSU"</formula1>
    </dataValidation>
  </dataValidations>
  <hyperlinks>
    <hyperlink ref="AC2" r:id="rId1" xr:uid="{B43F1728-84E9-48AC-8FE5-C0B368E2EE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Rishav Patel</cp:lastModifiedBy>
  <dcterms:modified xsi:type="dcterms:W3CDTF">2026-10-19T18:19:52Z</dcterms:modified>
</cp:coreProperties>
</file>